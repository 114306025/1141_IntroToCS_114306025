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141_IntroToCS_114306025\HW3_Excel1\"/>
    </mc:Choice>
  </mc:AlternateContent>
  <xr:revisionPtr revIDLastSave="0" documentId="13_ncr:1_{C14BADA8-55F4-4971-B00F-3FECEC0FC569}" xr6:coauthVersionLast="36" xr6:coauthVersionMax="47" xr10:uidLastSave="{00000000-0000-0000-0000-000000000000}"/>
  <bookViews>
    <workbookView xWindow="0" yWindow="0" windowWidth="19200" windowHeight="676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4" i="1"/>
  <c r="K15" i="1"/>
  <c r="K13" i="1"/>
  <c r="M18" i="1"/>
  <c r="L18" i="1"/>
  <c r="L12" i="1" l="1"/>
  <c r="L13" i="1"/>
  <c r="H17" i="1"/>
  <c r="D17" i="1"/>
  <c r="C17" i="1"/>
  <c r="J17" i="1"/>
  <c r="L3" i="1"/>
  <c r="L4" i="1"/>
  <c r="L5" i="1"/>
  <c r="L6" i="1"/>
  <c r="L7" i="1"/>
  <c r="L8" i="1"/>
  <c r="L9" i="1"/>
  <c r="L10" i="1"/>
  <c r="L11" i="1"/>
  <c r="L14" i="1"/>
  <c r="L15" i="1"/>
  <c r="L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<sst xmlns="http://schemas.openxmlformats.org/spreadsheetml/2006/main" count="34" uniqueCount="34">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</sst>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students' 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992-A7C5-4FB0A1723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088063"/>
        <c:axId val="1179614399"/>
      </c:barChart>
      <c:catAx>
        <c:axId val="118008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79614399"/>
        <c:crosses val="autoZero"/>
        <c:auto val="1"/>
        <c:lblAlgn val="ctr"/>
        <c:lblOffset val="100"/>
        <c:noMultiLvlLbl val="0"/>
      </c:catAx>
      <c:valAx>
        <c:axId val="117961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008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</a:t>
            </a:r>
            <a:r>
              <a:rPr lang="en-US" altLang="zh-TW" baseline="0"/>
              <a:t> 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工作表1!$L$17:$M$17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工作表1!$L$18:$M$18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8-4135-8E79-D78F3A789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23</xdr:row>
      <xdr:rowOff>212725</xdr:rowOff>
    </xdr:from>
    <xdr:to>
      <xdr:col>11</xdr:col>
      <xdr:colOff>6350</xdr:colOff>
      <xdr:row>36</xdr:row>
      <xdr:rowOff>149225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E2E54BF-FF25-4C17-98EA-671C9636C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7521</xdr:colOff>
      <xdr:row>18</xdr:row>
      <xdr:rowOff>7018</xdr:rowOff>
    </xdr:from>
    <xdr:to>
      <xdr:col>16</xdr:col>
      <xdr:colOff>50968</xdr:colOff>
      <xdr:row>30</xdr:row>
      <xdr:rowOff>143376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D07102C-C702-430C-8BB4-0470732E5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45"/>
  <sheetViews>
    <sheetView tabSelected="1" zoomScale="76" workbookViewId="0">
      <selection activeCell="L13" sqref="L13"/>
    </sheetView>
  </sheetViews>
  <sheetFormatPr defaultRowHeight="17"/>
  <cols>
    <col min="3" max="4" width="13" bestFit="1" customWidth="1"/>
    <col min="8" max="8" width="18.6328125" bestFit="1" customWidth="1"/>
    <col min="10" max="10" width="16.08984375" bestFit="1" customWidth="1"/>
    <col min="11" max="11" width="24.1796875" customWidth="1"/>
    <col min="12" max="12" width="23" customWidth="1"/>
    <col min="13" max="13" width="15.632812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2" t="s">
        <v>22</v>
      </c>
      <c r="I1" s="1" t="s">
        <v>21</v>
      </c>
      <c r="J1" s="2" t="s">
        <v>23</v>
      </c>
      <c r="K1" s="2" t="s">
        <v>24</v>
      </c>
      <c r="L1" s="2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4">
        <f>SUM(C2:G2)*0.1+I2*0.5</f>
        <v>91.7</v>
      </c>
      <c r="K2" s="4" t="str">
        <f t="shared" ref="K2:K12" si="0">_xlfn.IFS(J2&gt;=90,"A",J2&gt;=80,"B",J2&gt;=70,"C",J2&gt;=60,"D",J2&lt;=59,"F")</f>
        <v>A</v>
      </c>
      <c r="L2" s="4" t="str">
        <f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1">AVERAGE(C3:G3)</f>
        <v>86</v>
      </c>
      <c r="I3" s="1">
        <v>94</v>
      </c>
      <c r="J3" s="4">
        <f t="shared" ref="J3:J15" si="2">SUM(C3:G3)*0.1+I3*0.5</f>
        <v>90</v>
      </c>
      <c r="K3" s="4" t="str">
        <f t="shared" si="0"/>
        <v>A</v>
      </c>
      <c r="L3" s="4" t="str">
        <f t="shared" ref="L3:L15" si="3">IF(J3&gt;=60,"pass","fail")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1"/>
        <v>82.4</v>
      </c>
      <c r="I4" s="1">
        <v>80</v>
      </c>
      <c r="J4" s="4">
        <f t="shared" si="2"/>
        <v>81.2</v>
      </c>
      <c r="K4" s="4" t="str">
        <f t="shared" si="0"/>
        <v>B</v>
      </c>
      <c r="L4" s="4" t="str">
        <f t="shared" si="3"/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1"/>
        <v>81.599999999999994</v>
      </c>
      <c r="I5" s="1">
        <v>80</v>
      </c>
      <c r="J5" s="4">
        <f t="shared" si="2"/>
        <v>80.800000000000011</v>
      </c>
      <c r="K5" s="4" t="str">
        <f t="shared" si="0"/>
        <v>B</v>
      </c>
      <c r="L5" s="4" t="str">
        <f t="shared" si="3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1"/>
        <v>81.400000000000006</v>
      </c>
      <c r="I6" s="1">
        <v>88</v>
      </c>
      <c r="J6" s="4">
        <f t="shared" si="2"/>
        <v>84.7</v>
      </c>
      <c r="K6" s="4" t="str">
        <f t="shared" si="0"/>
        <v>B</v>
      </c>
      <c r="L6" s="4" t="str">
        <f t="shared" si="3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1"/>
        <v>80.599999999999994</v>
      </c>
      <c r="I7" s="1">
        <v>81</v>
      </c>
      <c r="J7" s="4">
        <f t="shared" si="2"/>
        <v>80.800000000000011</v>
      </c>
      <c r="K7" s="4" t="str">
        <f t="shared" si="0"/>
        <v>B</v>
      </c>
      <c r="L7" s="4" t="str">
        <f t="shared" si="3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1"/>
        <v>78.8</v>
      </c>
      <c r="I8" s="1">
        <v>77</v>
      </c>
      <c r="J8" s="4">
        <f t="shared" si="2"/>
        <v>77.900000000000006</v>
      </c>
      <c r="K8" s="4" t="str">
        <f t="shared" si="0"/>
        <v>C</v>
      </c>
      <c r="L8" s="4" t="str">
        <f t="shared" si="3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1"/>
        <v>75.400000000000006</v>
      </c>
      <c r="I9" s="1">
        <v>73</v>
      </c>
      <c r="J9" s="4">
        <f t="shared" si="2"/>
        <v>74.2</v>
      </c>
      <c r="K9" s="4" t="str">
        <f t="shared" si="0"/>
        <v>C</v>
      </c>
      <c r="L9" s="4" t="str">
        <f t="shared" si="3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1"/>
        <v>73.400000000000006</v>
      </c>
      <c r="I10" s="1">
        <v>77</v>
      </c>
      <c r="J10" s="4">
        <f t="shared" si="2"/>
        <v>75.2</v>
      </c>
      <c r="K10" s="4" t="str">
        <f t="shared" si="0"/>
        <v>C</v>
      </c>
      <c r="L10" s="4" t="str">
        <f t="shared" si="3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1"/>
        <v>73.2</v>
      </c>
      <c r="I11" s="1">
        <v>82</v>
      </c>
      <c r="J11" s="4">
        <f t="shared" si="2"/>
        <v>77.599999999999994</v>
      </c>
      <c r="K11" s="4" t="str">
        <f t="shared" si="0"/>
        <v>C</v>
      </c>
      <c r="L11" s="4" t="str">
        <f t="shared" si="3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3">
        <v>67</v>
      </c>
      <c r="G12" s="1">
        <v>82</v>
      </c>
      <c r="H12" s="1">
        <f t="shared" si="1"/>
        <v>73.2</v>
      </c>
      <c r="I12" s="1">
        <v>88</v>
      </c>
      <c r="J12" s="4">
        <f t="shared" si="2"/>
        <v>80.599999999999994</v>
      </c>
      <c r="K12" s="4" t="str">
        <f t="shared" si="0"/>
        <v>B</v>
      </c>
      <c r="L12" s="4" t="str">
        <f t="shared" si="3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1"/>
        <v>66</v>
      </c>
      <c r="I13" s="1">
        <v>52</v>
      </c>
      <c r="J13" s="4">
        <f t="shared" si="2"/>
        <v>59</v>
      </c>
      <c r="K13" s="4" t="str">
        <f>_xlfn.IFS(J13&gt;=90,"A",J13&gt;=80,"B",J13&gt;=70,"C",J13&gt;=60,"D",J13&lt;=59,"F")</f>
        <v>F</v>
      </c>
      <c r="L13" s="4" t="str">
        <f t="shared" si="3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1"/>
        <v>64.8</v>
      </c>
      <c r="I14" s="1">
        <v>69</v>
      </c>
      <c r="J14" s="4">
        <f t="shared" si="2"/>
        <v>66.900000000000006</v>
      </c>
      <c r="K14" s="4" t="str">
        <f t="shared" ref="K14:K15" si="4">_xlfn.IFS(J14&gt;=90,"A",J14&gt;=80,"B",J14&gt;=70,"C",J14&gt;=60,"D",J14&lt;=59,"F")</f>
        <v>D</v>
      </c>
      <c r="L14" s="4" t="str">
        <f t="shared" si="3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1"/>
        <v>57.2</v>
      </c>
      <c r="I15" s="1">
        <v>54</v>
      </c>
      <c r="J15" s="4">
        <f t="shared" si="2"/>
        <v>55.6</v>
      </c>
      <c r="K15" s="4" t="str">
        <f t="shared" si="4"/>
        <v>F</v>
      </c>
      <c r="L15" s="4" t="str">
        <f t="shared" si="3"/>
        <v>fail</v>
      </c>
    </row>
    <row r="16" spans="1:12">
      <c r="A16" s="4"/>
      <c r="B16" s="4"/>
      <c r="C16" s="5" t="s">
        <v>27</v>
      </c>
      <c r="D16" s="5" t="s">
        <v>28</v>
      </c>
      <c r="E16" s="4"/>
      <c r="F16" s="4"/>
      <c r="G16" s="4"/>
      <c r="H16" s="5" t="s">
        <v>29</v>
      </c>
      <c r="I16" s="4"/>
      <c r="J16" s="5" t="s">
        <v>26</v>
      </c>
      <c r="K16" s="4"/>
      <c r="L16" s="5" t="s">
        <v>31</v>
      </c>
    </row>
    <row r="17" spans="1:13">
      <c r="A17" s="4"/>
      <c r="B17" s="4"/>
      <c r="C17" s="4">
        <f>LARGE(C2:C15,1)</f>
        <v>98</v>
      </c>
      <c r="D17" s="4">
        <f>LARGE(D2:D15,2)</f>
        <v>92</v>
      </c>
      <c r="E17" s="4"/>
      <c r="F17" s="4"/>
      <c r="G17" s="4"/>
      <c r="H17" s="4">
        <f>COUNTIF(H2:H15,"&lt;80")</f>
        <v>8</v>
      </c>
      <c r="I17" s="4"/>
      <c r="J17" s="4">
        <f>AVERAGE(J2:J15)</f>
        <v>76.871428571428581</v>
      </c>
      <c r="K17" s="4"/>
      <c r="L17" s="4" t="s">
        <v>32</v>
      </c>
      <c r="M17" s="4" t="s">
        <v>33</v>
      </c>
    </row>
    <row r="18" spans="1:1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>
        <f>COUNTIF(L2:L15,"pass")</f>
        <v>12</v>
      </c>
      <c r="M18" s="4">
        <f>COUNTIF(L2:L15,"fail")</f>
        <v>2</v>
      </c>
    </row>
    <row r="19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3">
      <c r="A24" s="4"/>
      <c r="B24" s="4"/>
      <c r="C24" s="4"/>
      <c r="D24" s="4"/>
      <c r="E24" s="4"/>
      <c r="F24" s="4"/>
      <c r="G24" s="4"/>
      <c r="H24" s="4"/>
      <c r="I24" s="4"/>
      <c r="J24" s="5" t="s">
        <v>30</v>
      </c>
      <c r="K24" s="4"/>
      <c r="L24" s="4"/>
    </row>
    <row r="25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</sheetData>
  <phoneticPr fontId="2" type="noConversion"/>
  <conditionalFormatting sqref="L2:L15">
    <cfRule type="cellIs" dxfId="2" priority="4" operator="equal">
      <formula>"pass"</formula>
    </cfRule>
  </conditionalFormatting>
  <conditionalFormatting sqref="L13">
    <cfRule type="cellIs" dxfId="1" priority="2" operator="equal">
      <formula>"fail"</formula>
    </cfRule>
  </conditionalFormatting>
  <conditionalFormatting sqref="L15">
    <cfRule type="cellIs" dxfId="0" priority="1" operator="equal">
      <formula>"fail"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USER</cp:lastModifiedBy>
  <dcterms:created xsi:type="dcterms:W3CDTF">2023-10-19T05:27:10Z</dcterms:created>
  <dcterms:modified xsi:type="dcterms:W3CDTF">2025-10-09T14:21:02Z</dcterms:modified>
</cp:coreProperties>
</file>